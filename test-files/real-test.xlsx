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ay\Desktop\"/>
    </mc:Choice>
  </mc:AlternateContent>
  <xr:revisionPtr revIDLastSave="0" documentId="13_ncr:1_{1EFF99F7-9698-48D8-B706-3C1BD32EFC23}" xr6:coauthVersionLast="47" xr6:coauthVersionMax="47" xr10:uidLastSave="{00000000-0000-0000-0000-000000000000}"/>
  <bookViews>
    <workbookView xWindow="10300" yWindow="880" windowWidth="18030" windowHeight="1998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solver_adj" localSheetId="0" hidden="1">Sheet1!$I$2:$I$6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Sheet1!$L$7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K3" i="1" s="1"/>
  <c r="L3" i="1" s="1"/>
  <c r="J4" i="1"/>
  <c r="K4" i="1" s="1"/>
  <c r="L4" i="1" s="1"/>
  <c r="J5" i="1"/>
  <c r="K5" i="1" s="1"/>
  <c r="L5" i="1" s="1"/>
  <c r="J6" i="1"/>
  <c r="K6" i="1" s="1"/>
  <c r="L6" i="1" s="1"/>
  <c r="J2" i="1"/>
  <c r="K2" i="1" s="1"/>
  <c r="L2" i="1" s="1"/>
  <c r="L7" i="1" l="1"/>
</calcChain>
</file>

<file path=xl/sharedStrings.xml><?xml version="1.0" encoding="utf-8"?>
<sst xmlns="http://schemas.openxmlformats.org/spreadsheetml/2006/main" count="12" uniqueCount="12">
  <si>
    <t>期限</t>
    <phoneticPr fontId="1" type="noConversion"/>
  </si>
  <si>
    <t>年票息</t>
    <phoneticPr fontId="1" type="noConversion"/>
  </si>
  <si>
    <t>市场价格</t>
    <phoneticPr fontId="1" type="noConversion"/>
  </si>
  <si>
    <t>第1年现金流</t>
    <phoneticPr fontId="1" type="noConversion"/>
  </si>
  <si>
    <t>第2年现金流</t>
    <phoneticPr fontId="1" type="noConversion"/>
  </si>
  <si>
    <t>第3年现金流</t>
    <phoneticPr fontId="1" type="noConversion"/>
  </si>
  <si>
    <t>第4年现金流</t>
    <phoneticPr fontId="1" type="noConversion"/>
  </si>
  <si>
    <t>第5年现金流</t>
    <phoneticPr fontId="1" type="noConversion"/>
  </si>
  <si>
    <t>贴现因子π</t>
    <phoneticPr fontId="1" type="noConversion"/>
  </si>
  <si>
    <t>理论价格</t>
    <phoneticPr fontId="1" type="noConversion"/>
  </si>
  <si>
    <t>误差</t>
    <phoneticPr fontId="1" type="noConversion"/>
  </si>
  <si>
    <t>误差平方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</si>
</sst>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Sheet1!$I$2:$I$6</c:f>
              <c:numCache>
                <c:formatCode>General</c:formatCode>
                <c:ptCount val="5"/>
                <c:pt idx="0">
                  <c:v>0.99108901528235271</c:v>
                </c:pt>
                <c:pt idx="1">
                  <c:v>0.96291975264728702</c:v>
                </c:pt>
                <c:pt idx="2">
                  <c:v>0.9168734164737431</c:v>
                </c:pt>
                <c:pt idx="3">
                  <c:v>0.85496596458549845</c:v>
                </c:pt>
                <c:pt idx="4">
                  <c:v>0.7797213827270576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C8-4360-9AC0-7E2C18E557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9488912"/>
        <c:axId val="1119492512"/>
      </c:scatterChart>
      <c:valAx>
        <c:axId val="1119488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19492512"/>
        <c:crosses val="autoZero"/>
        <c:crossBetween val="midCat"/>
      </c:valAx>
      <c:valAx>
        <c:axId val="1119492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19488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10</xdr:row>
      <xdr:rowOff>0</xdr:rowOff>
    </xdr:from>
    <xdr:to>
      <xdr:col>14</xdr:col>
      <xdr:colOff>615950</xdr:colOff>
      <xdr:row>25</xdr:row>
      <xdr:rowOff>76200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2A055593-14A7-45D9-833A-C4177697DA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>
      <selection activeCell="G29" sqref="G29"/>
    </sheetView>
  </sheetViews>
  <sheetFormatPr defaultColWidth="9" defaultRowHeight="14" x14ac:dyDescent="0.25"/>
  <cols>
    <col min="4" max="8" width="12.453125" bestFit="1" customWidth="1"/>
    <col min="9" max="9" width="11.36328125" bestFit="1" customWidth="1"/>
    <col min="10" max="10" width="9.269531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</v>
      </c>
      <c r="B2">
        <v>1</v>
      </c>
      <c r="C2">
        <v>100.1</v>
      </c>
      <c r="D2">
        <v>101</v>
      </c>
      <c r="E2">
        <v>0</v>
      </c>
      <c r="F2">
        <v>0</v>
      </c>
      <c r="G2">
        <v>0</v>
      </c>
      <c r="H2">
        <v>0</v>
      </c>
      <c r="I2">
        <v>0.99108901528235271</v>
      </c>
      <c r="J2">
        <f>D2*$I$2 + E2*$I$3 + F2*$I$4 + G2*$I$5 + H2*$I$6</f>
        <v>100.09999054351762</v>
      </c>
      <c r="K2">
        <f>C2-J2</f>
        <v>9.4564823740483916E-6</v>
      </c>
      <c r="L2">
        <f>K2^2</f>
        <v>8.9425058890687907E-11</v>
      </c>
    </row>
    <row r="3" spans="1:12" x14ac:dyDescent="0.25">
      <c r="A3">
        <v>2</v>
      </c>
      <c r="B3">
        <v>2</v>
      </c>
      <c r="C3">
        <v>100.2</v>
      </c>
      <c r="D3">
        <v>2</v>
      </c>
      <c r="E3">
        <v>102</v>
      </c>
      <c r="F3">
        <v>0</v>
      </c>
      <c r="G3">
        <v>0</v>
      </c>
      <c r="H3">
        <v>0</v>
      </c>
      <c r="I3">
        <v>0.96291975264728702</v>
      </c>
      <c r="J3">
        <f t="shared" ref="J3:J6" si="0">D3*$I$2 + E3*$I$3 + F3*$I$4 + G3*$I$5 + H3*$I$6</f>
        <v>100.19999280058799</v>
      </c>
      <c r="K3">
        <f t="shared" ref="K3:K6" si="1">C3-J3</f>
        <v>7.199412010550077E-6</v>
      </c>
      <c r="L3">
        <f t="shared" ref="L3:L6" si="2">K3^2</f>
        <v>5.1831533297652701E-11</v>
      </c>
    </row>
    <row r="4" spans="1:12" x14ac:dyDescent="0.25">
      <c r="A4">
        <v>3</v>
      </c>
      <c r="B4">
        <v>3</v>
      </c>
      <c r="C4">
        <v>100.3</v>
      </c>
      <c r="D4">
        <v>3</v>
      </c>
      <c r="E4">
        <v>3</v>
      </c>
      <c r="F4">
        <v>103</v>
      </c>
      <c r="G4">
        <v>0</v>
      </c>
      <c r="H4">
        <v>0</v>
      </c>
      <c r="I4">
        <v>0.9168734164737431</v>
      </c>
      <c r="J4">
        <f t="shared" si="0"/>
        <v>100.29998820058447</v>
      </c>
      <c r="K4">
        <f t="shared" si="1"/>
        <v>1.1799415531754676E-5</v>
      </c>
      <c r="L4">
        <f t="shared" si="2"/>
        <v>1.3922620689101348E-10</v>
      </c>
    </row>
    <row r="5" spans="1:12" x14ac:dyDescent="0.25">
      <c r="A5">
        <v>4</v>
      </c>
      <c r="B5">
        <v>4</v>
      </c>
      <c r="C5">
        <v>100.4</v>
      </c>
      <c r="D5">
        <v>4</v>
      </c>
      <c r="E5">
        <v>4</v>
      </c>
      <c r="F5">
        <v>4</v>
      </c>
      <c r="G5">
        <v>104</v>
      </c>
      <c r="H5">
        <v>0</v>
      </c>
      <c r="I5">
        <v>0.85496596458549845</v>
      </c>
      <c r="J5">
        <f t="shared" si="0"/>
        <v>100.39998905450537</v>
      </c>
      <c r="K5">
        <f t="shared" si="1"/>
        <v>1.0945494636871445E-5</v>
      </c>
      <c r="L5">
        <f t="shared" si="2"/>
        <v>1.1980385284578154E-10</v>
      </c>
    </row>
    <row r="6" spans="1:12" x14ac:dyDescent="0.25">
      <c r="A6">
        <v>5</v>
      </c>
      <c r="B6">
        <v>5</v>
      </c>
      <c r="C6">
        <v>100.5</v>
      </c>
      <c r="D6">
        <v>5</v>
      </c>
      <c r="E6">
        <v>5</v>
      </c>
      <c r="F6">
        <v>5</v>
      </c>
      <c r="G6">
        <v>5</v>
      </c>
      <c r="H6">
        <v>105</v>
      </c>
      <c r="I6">
        <v>0.7797213827270576</v>
      </c>
      <c r="J6">
        <f t="shared" si="0"/>
        <v>100.49998593128547</v>
      </c>
      <c r="K6">
        <f t="shared" si="1"/>
        <v>1.4068714534687388E-5</v>
      </c>
      <c r="L6">
        <f t="shared" si="2"/>
        <v>1.9792872865852417E-10</v>
      </c>
    </row>
    <row r="7" spans="1:12" x14ac:dyDescent="0.25">
      <c r="L7">
        <f>SUM(L2:L6)</f>
        <v>5.982153805836598E-10</v>
      </c>
    </row>
  </sheetData>
  <phoneticPr fontId="1" type="noConversion"/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</dc:creator>
  <cp:lastModifiedBy>gonna Ray</cp:lastModifiedBy>
  <dcterms:created xsi:type="dcterms:W3CDTF">2023-05-12T11:15:00Z</dcterms:created>
  <dcterms:modified xsi:type="dcterms:W3CDTF">2026-03-16T13:36:56Z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